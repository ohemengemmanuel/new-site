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324\Desktop\Emperial Waste\"/>
    </mc:Choice>
  </mc:AlternateContent>
  <xr:revisionPtr revIDLastSave="0" documentId="13_ncr:1_{32200949-64C6-4DD6-BD43-8C2A5AD991EF}" xr6:coauthVersionLast="47" xr6:coauthVersionMax="47" xr10:uidLastSave="{00000000-0000-0000-0000-000000000000}"/>
  <bookViews>
    <workbookView xWindow="-113" yWindow="-113" windowWidth="24267" windowHeight="13023" xr2:uid="{32A05441-F653-4964-A9B8-A7D1F3D0B1B7}"/>
  </bookViews>
  <sheets>
    <sheet name="Febru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F4" i="1"/>
  <c r="F5" i="1"/>
  <c r="F6" i="1"/>
  <c r="F3" i="1"/>
  <c r="G4" i="1"/>
  <c r="G5" i="1"/>
  <c r="G6" i="1"/>
  <c r="G3" i="1"/>
  <c r="D4" i="1"/>
  <c r="D5" i="1"/>
  <c r="D6" i="1"/>
  <c r="D12" i="1" l="1"/>
  <c r="G12" i="1"/>
  <c r="F12" i="1"/>
  <c r="H16" i="1" s="1"/>
  <c r="D17" i="1" l="1"/>
</calcChain>
</file>

<file path=xl/sharedStrings.xml><?xml version="1.0" encoding="utf-8"?>
<sst xmlns="http://schemas.openxmlformats.org/spreadsheetml/2006/main" count="20" uniqueCount="20">
  <si>
    <t>Company</t>
  </si>
  <si>
    <t>Trips</t>
  </si>
  <si>
    <t>HS</t>
  </si>
  <si>
    <t>Gbawe Hospital</t>
  </si>
  <si>
    <t>ECG</t>
  </si>
  <si>
    <t>Lab manufucturing</t>
  </si>
  <si>
    <t>Amount</t>
  </si>
  <si>
    <t>Total Amount</t>
  </si>
  <si>
    <t>Total</t>
  </si>
  <si>
    <t>Dump</t>
  </si>
  <si>
    <t>Fuel</t>
  </si>
  <si>
    <t>Dumping fee</t>
  </si>
  <si>
    <t>Driver's Salary</t>
  </si>
  <si>
    <t>Total Expenditure</t>
  </si>
  <si>
    <t>Truck Repairs</t>
  </si>
  <si>
    <t>Withholding tax</t>
  </si>
  <si>
    <t>/Month</t>
  </si>
  <si>
    <t>Janitor's Salary</t>
  </si>
  <si>
    <t>Total revenue - Total expenditure</t>
  </si>
  <si>
    <t>FEBRUARY -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</si>
</sst>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GHC]\ #,##0.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Bahnschrift"/>
      <family val="2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sz val="14"/>
      <color theme="1"/>
      <name val="Bahnschrift"/>
      <family val="2"/>
    </font>
    <font>
      <b/>
      <sz val="24"/>
      <color theme="1"/>
      <name val="Apto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164" fontId="6" fillId="0" borderId="0" xfId="0" applyNumberFormat="1" applyFont="1"/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FCF2-C8D0-4CF4-8AC9-7926581FC6F3}">
  <sheetPr>
    <pageSetUpPr fitToPage="1"/>
  </sheetPr>
  <dimension ref="A1:H18"/>
  <sheetViews>
    <sheetView tabSelected="1" zoomScale="83" workbookViewId="0">
      <selection activeCell="A2" sqref="A2"/>
    </sheetView>
  </sheetViews>
  <sheetFormatPr defaultRowHeight="15.05" x14ac:dyDescent="0.3"/>
  <cols>
    <col min="1" max="1" width="22.21875" bestFit="1" customWidth="1"/>
    <col min="2" max="2" width="7.6640625" customWidth="1"/>
    <col min="3" max="3" width="31.33203125" bestFit="1" customWidth="1"/>
    <col min="4" max="4" width="22.5546875" customWidth="1"/>
    <col min="5" max="5" width="15.6640625" customWidth="1"/>
    <col min="6" max="6" width="15.44140625" customWidth="1"/>
    <col min="7" max="7" width="12.77734375" bestFit="1" customWidth="1"/>
    <col min="8" max="8" width="13.109375" bestFit="1" customWidth="1"/>
  </cols>
  <sheetData>
    <row r="1" spans="1:8" ht="30.7" x14ac:dyDescent="0.55000000000000004">
      <c r="A1" s="9" t="s">
        <v>19</v>
      </c>
      <c r="B1" s="9"/>
      <c r="C1" s="9"/>
      <c r="D1" s="9"/>
      <c r="E1" s="9"/>
      <c r="F1" s="9"/>
      <c r="G1" s="9"/>
    </row>
    <row r="2" spans="1:8" ht="16.899999999999999" customHeight="1" x14ac:dyDescent="0.3">
      <c r="A2" s="2" t="s">
        <v>0</v>
      </c>
      <c r="B2" s="2" t="s">
        <v>1</v>
      </c>
      <c r="C2" s="2" t="s">
        <v>6</v>
      </c>
      <c r="D2" s="2" t="s">
        <v>8</v>
      </c>
      <c r="E2" s="2" t="s">
        <v>11</v>
      </c>
      <c r="F2" s="2" t="s">
        <v>9</v>
      </c>
      <c r="G2" s="2" t="s">
        <v>10</v>
      </c>
      <c r="H2" s="2" t="s">
        <v>16</v>
      </c>
    </row>
    <row r="3" spans="1:8" ht="17.55" x14ac:dyDescent="0.3">
      <c r="A3" s="7" t="s">
        <v>2</v>
      </c>
      <c r="B3" s="3">
        <v>18</v>
      </c>
      <c r="C3" s="5">
        <v>1300</v>
      </c>
      <c r="D3" s="5">
        <f>(B3*C3)</f>
        <v>23400</v>
      </c>
      <c r="E3" s="5">
        <v>30</v>
      </c>
      <c r="F3" s="5">
        <f>B3*E3</f>
        <v>540</v>
      </c>
      <c r="G3" s="5">
        <f>B3*450</f>
        <v>8100</v>
      </c>
    </row>
    <row r="4" spans="1:8" ht="18.2" customHeight="1" x14ac:dyDescent="0.3">
      <c r="A4" s="7" t="s">
        <v>3</v>
      </c>
      <c r="B4" s="3">
        <v>1</v>
      </c>
      <c r="C4" s="5">
        <v>1100</v>
      </c>
      <c r="D4" s="5">
        <f>(B4*C4)</f>
        <v>1100</v>
      </c>
      <c r="E4" s="5">
        <v>100</v>
      </c>
      <c r="F4" s="5">
        <f t="shared" ref="F4:F6" si="0">B4*E4</f>
        <v>100</v>
      </c>
      <c r="G4" s="5">
        <f t="shared" ref="G4:G6" si="1">B4*450</f>
        <v>450</v>
      </c>
    </row>
    <row r="5" spans="1:8" ht="17.55" x14ac:dyDescent="0.3">
      <c r="A5" s="7" t="s">
        <v>4</v>
      </c>
      <c r="B5" s="3">
        <v>2</v>
      </c>
      <c r="C5" s="5">
        <v>1300</v>
      </c>
      <c r="D5" s="5">
        <f>(B5*C5)</f>
        <v>2600</v>
      </c>
      <c r="E5" s="5">
        <v>30</v>
      </c>
      <c r="F5" s="5">
        <f t="shared" si="0"/>
        <v>60</v>
      </c>
      <c r="G5" s="5">
        <f t="shared" si="1"/>
        <v>900</v>
      </c>
    </row>
    <row r="6" spans="1:8" ht="17.55" x14ac:dyDescent="0.3">
      <c r="A6" s="7" t="s">
        <v>5</v>
      </c>
      <c r="B6" s="3">
        <v>1</v>
      </c>
      <c r="C6" s="5">
        <v>1400</v>
      </c>
      <c r="D6" s="5">
        <f>(B6*C6)</f>
        <v>1400</v>
      </c>
      <c r="E6" s="5">
        <v>30</v>
      </c>
      <c r="F6" s="5">
        <f t="shared" si="0"/>
        <v>30</v>
      </c>
      <c r="G6" s="5">
        <f t="shared" si="1"/>
        <v>450</v>
      </c>
    </row>
    <row r="7" spans="1:8" x14ac:dyDescent="0.3">
      <c r="A7" s="3"/>
      <c r="B7" s="3"/>
      <c r="C7" s="5"/>
      <c r="D7" s="5"/>
      <c r="E7" s="5"/>
      <c r="F7" s="5"/>
      <c r="G7" s="5"/>
    </row>
    <row r="8" spans="1:8" x14ac:dyDescent="0.3">
      <c r="A8" s="3"/>
      <c r="B8" s="3"/>
      <c r="C8" s="5"/>
      <c r="D8" s="5"/>
      <c r="E8" s="5"/>
      <c r="F8" s="5"/>
      <c r="G8" s="5"/>
    </row>
    <row r="9" spans="1:8" x14ac:dyDescent="0.3">
      <c r="A9" s="3"/>
      <c r="B9" s="3"/>
      <c r="C9" s="5"/>
      <c r="D9" s="5"/>
      <c r="E9" s="5"/>
      <c r="F9" s="5"/>
      <c r="G9" s="5"/>
    </row>
    <row r="10" spans="1:8" x14ac:dyDescent="0.3">
      <c r="A10" s="3"/>
      <c r="B10" s="3"/>
      <c r="C10" s="5"/>
      <c r="D10" s="5"/>
      <c r="E10" s="5"/>
      <c r="F10" s="5"/>
      <c r="G10" s="5"/>
    </row>
    <row r="11" spans="1:8" x14ac:dyDescent="0.3">
      <c r="A11" s="4" t="s">
        <v>14</v>
      </c>
      <c r="B11" s="3"/>
      <c r="C11" s="5"/>
      <c r="D11" s="5"/>
      <c r="E11" s="5"/>
      <c r="F11" s="5"/>
      <c r="G11" s="5"/>
      <c r="H11" s="11">
        <v>4850</v>
      </c>
    </row>
    <row r="12" spans="1:8" x14ac:dyDescent="0.3">
      <c r="A12" s="4" t="s">
        <v>7</v>
      </c>
      <c r="B12" s="3"/>
      <c r="C12" s="5"/>
      <c r="D12" s="6">
        <f>SUM(D3:D6)</f>
        <v>28500</v>
      </c>
      <c r="E12" s="6"/>
      <c r="F12" s="6">
        <f>SUM(F3:F6)</f>
        <v>730</v>
      </c>
      <c r="G12" s="6">
        <f>SUM(G3:G6)</f>
        <v>9900</v>
      </c>
    </row>
    <row r="13" spans="1:8" x14ac:dyDescent="0.3">
      <c r="A13" s="4" t="s">
        <v>12</v>
      </c>
      <c r="B13" s="3"/>
      <c r="C13" s="3"/>
      <c r="D13" s="3"/>
      <c r="E13" s="3"/>
      <c r="F13" s="3"/>
      <c r="G13" s="3"/>
      <c r="H13" s="11">
        <v>3050</v>
      </c>
    </row>
    <row r="14" spans="1:8" x14ac:dyDescent="0.3">
      <c r="A14" s="4" t="s">
        <v>17</v>
      </c>
      <c r="B14" s="3"/>
      <c r="C14" s="3"/>
      <c r="D14" s="3"/>
      <c r="E14" s="3"/>
      <c r="F14" s="3"/>
      <c r="G14" s="3"/>
      <c r="H14" s="11">
        <v>350</v>
      </c>
    </row>
    <row r="15" spans="1:8" x14ac:dyDescent="0.3">
      <c r="A15" s="4" t="s">
        <v>15</v>
      </c>
      <c r="B15" s="3"/>
      <c r="C15" s="3"/>
      <c r="D15" s="3"/>
      <c r="E15" s="3"/>
      <c r="F15" s="3"/>
      <c r="G15" s="3"/>
      <c r="H15" s="11">
        <v>1950</v>
      </c>
    </row>
    <row r="16" spans="1:8" x14ac:dyDescent="0.3">
      <c r="A16" s="4" t="s">
        <v>13</v>
      </c>
      <c r="B16" s="3"/>
      <c r="C16" s="3"/>
      <c r="D16" s="3"/>
      <c r="E16" s="3"/>
      <c r="F16" s="3"/>
      <c r="G16" s="3"/>
      <c r="H16" s="10">
        <f>SUM(F12,G12,H13,H11,H15,H14)</f>
        <v>20830</v>
      </c>
    </row>
    <row r="17" spans="1:7" x14ac:dyDescent="0.3">
      <c r="A17" s="3"/>
      <c r="B17" s="3"/>
      <c r="C17" s="4" t="s">
        <v>18</v>
      </c>
      <c r="D17" s="6">
        <f>D12-H16</f>
        <v>7670</v>
      </c>
      <c r="E17" s="3"/>
      <c r="F17" s="3"/>
      <c r="G17" s="3"/>
    </row>
    <row r="18" spans="1:7" x14ac:dyDescent="0.3">
      <c r="A18" s="1"/>
      <c r="B18" s="1"/>
      <c r="C18" s="1"/>
      <c r="D18" s="8"/>
      <c r="E18" s="1"/>
      <c r="F18" s="1"/>
      <c r="G18" s="1"/>
    </row>
  </sheetData>
  <mergeCells count="1">
    <mergeCell ref="A1:G1"/>
  </mergeCells>
  <printOptions gridLines="1"/>
  <pageMargins left="0.25" right="0.25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Emmauel Ohemeng</dc:creator>
  <cp:lastModifiedBy>Emmauel Ohemeng</cp:lastModifiedBy>
  <cp:lastPrinted>2025-03-09T20:26:41Z</cp:lastPrinted>
  <dcterms:created xsi:type="dcterms:W3CDTF">2025-03-04T08:40:14Z</dcterms:created>
  <dcterms:modified xsi:type="dcterms:W3CDTF">2025-03-09T20:29:00Z</dcterms:modified>
</cp:coreProperties>
</file>